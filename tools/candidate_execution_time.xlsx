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6">
    <font>
      <name val="Calibri"/>
      <family val="2"/>
      <color theme="1"/>
      <sz val="11"/>
      <scheme val="minor"/>
    </font>
    <font>
      <name val="Arial"/>
      <b val="1"/>
      <color rgb="000000FF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8EAADB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3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calc</author>
  </authors>
  <commentList>
    <comment ref="A1" authorId="0" shapeId="0">
      <text>
        <t>INPUT: crack speed in millions of candidates per second (Mcand/sec).
Default 10660 = 10.66 GH/s.</t>
      </text>
    </comment>
    <comment ref="D1" authorId="0" shapeId="0">
      <text>
        <t>INPUT: n in the combinations formula C(n, r) = n!/(r!(n-r)!).
Default 62 = a-z A-Z 0-9. Must be &gt;= the largest length.</t>
      </text>
    </comment>
    <comment ref="B3" authorId="0" shapeId="0">
      <text>
        <t>= COMBIN(n, length) = n!/(r!(n-r)!)</t>
      </text>
    </comment>
    <comment ref="C3" authorId="0" shapeId="0">
      <text>
        <t>= Candidates / (Speed * 1,000,000)
The *1,000,000 converts Mcand/sec -&gt; cand/sec.</t>
      </text>
    </comment>
    <comment ref="D3" authorId="0" shapeId="0">
      <text>
        <t>y = 365 d, mo = 30 d (approximations).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30" customWidth="1" min="4" max="4"/>
  </cols>
  <sheetData>
    <row r="1">
      <c r="A1" s="1" t="n">
        <v>10660</v>
      </c>
      <c r="B1" s="2" t="inlineStr">
        <is>
          <t>← Speed (Mcand/sec)</t>
        </is>
      </c>
      <c r="C1" s="3" t="inlineStr">
        <is>
          <t>Pool size n →</t>
        </is>
      </c>
      <c r="D1" s="1" t="n">
        <v>62</v>
      </c>
    </row>
    <row r="2" ht="20" customHeight="1">
      <c r="A2" s="4" t="inlineStr">
        <is>
          <t>Characters length</t>
        </is>
      </c>
      <c r="B2" s="4" t="inlineStr">
        <is>
          <t>Candidates &amp; time to exhaust</t>
        </is>
      </c>
      <c r="C2" s="5" t="n"/>
      <c r="D2" s="5" t="n"/>
    </row>
    <row r="3" ht="30" customHeight="1">
      <c r="A3" s="5" t="n"/>
      <c r="B3" s="6" t="inlineStr">
        <is>
          <t>Candidates count</t>
        </is>
      </c>
      <c r="C3" s="6" t="inlineStr">
        <is>
          <t>Total time (seconds)</t>
        </is>
      </c>
      <c r="D3" s="6" t="inlineStr">
        <is>
          <t>Formatted time</t>
        </is>
      </c>
    </row>
    <row r="4">
      <c r="A4" s="7" t="n">
        <v>1</v>
      </c>
      <c r="B4" s="8">
        <f>IFERROR(COMBIN($D$1,A4),"n &lt; length")</f>
        <v/>
      </c>
      <c r="C4" s="9">
        <f>IFERROR(B4/($A$1*1000000),"")</f>
        <v/>
      </c>
      <c r="D4" s="10">
        <f>IF(C4="","",IF(C4=0,"0s",IF(C4&lt;1,"&lt;1s",TRIM(IF(INT(C4/31536000)&gt;0,TEXT(INT(C4/31536000),"#,##0")&amp;"y ","")&amp;IF(INT(MOD(C4,31536000)/2592000)&gt;0,INT(MOD(C4,31536000)/2592000)&amp;"mo ","")&amp;IF(INT(MOD(C4,2592000)/86400)&gt;0,INT(MOD(C4,2592000)/86400)&amp;"d ","")&amp;IF(INT(MOD(C4,86400)/3600)&gt;0,INT(MOD(C4,86400)/3600)&amp;"h ","")&amp;IF(INT(MOD(C4,3600)/60)&gt;0,INT(MOD(C4,3600)/60)&amp;"m ","")&amp;IF(INT(MOD(C4,60))&gt;0,INT(MOD(C4,60))&amp;"s","")))))</f>
        <v/>
      </c>
    </row>
    <row r="5">
      <c r="A5" s="11" t="n">
        <v>2</v>
      </c>
      <c r="B5" s="12">
        <f>IFERROR(COMBIN($D$1,A5),"n &lt; length")</f>
        <v/>
      </c>
      <c r="C5" s="13">
        <f>IFERROR(B5/($A$1*1000000),"")</f>
        <v/>
      </c>
      <c r="D5" s="14">
        <f>IF(C5="","",IF(C5=0,"0s",IF(C5&lt;1,"&lt;1s",TRIM(IF(INT(C5/31536000)&gt;0,TEXT(INT(C5/31536000),"#,##0")&amp;"y ","")&amp;IF(INT(MOD(C5,31536000)/2592000)&gt;0,INT(MOD(C5,31536000)/2592000)&amp;"mo ","")&amp;IF(INT(MOD(C5,2592000)/86400)&gt;0,INT(MOD(C5,2592000)/86400)&amp;"d ","")&amp;IF(INT(MOD(C5,86400)/3600)&gt;0,INT(MOD(C5,86400)/3600)&amp;"h ","")&amp;IF(INT(MOD(C5,3600)/60)&gt;0,INT(MOD(C5,3600)/60)&amp;"m ","")&amp;IF(INT(MOD(C5,60))&gt;0,INT(MOD(C5,60))&amp;"s","")))))</f>
        <v/>
      </c>
    </row>
    <row r="6">
      <c r="A6" s="7" t="n">
        <v>3</v>
      </c>
      <c r="B6" s="8">
        <f>IFERROR(COMBIN($D$1,A6),"n &lt; length")</f>
        <v/>
      </c>
      <c r="C6" s="9">
        <f>IFERROR(B6/($A$1*1000000),"")</f>
        <v/>
      </c>
      <c r="D6" s="10">
        <f>IF(C6="","",IF(C6=0,"0s",IF(C6&lt;1,"&lt;1s",TRIM(IF(INT(C6/31536000)&gt;0,TEXT(INT(C6/31536000),"#,##0")&amp;"y ","")&amp;IF(INT(MOD(C6,31536000)/2592000)&gt;0,INT(MOD(C6,31536000)/2592000)&amp;"mo ","")&amp;IF(INT(MOD(C6,2592000)/86400)&gt;0,INT(MOD(C6,2592000)/86400)&amp;"d ","")&amp;IF(INT(MOD(C6,86400)/3600)&gt;0,INT(MOD(C6,86400)/3600)&amp;"h ","")&amp;IF(INT(MOD(C6,3600)/60)&gt;0,INT(MOD(C6,3600)/60)&amp;"m ","")&amp;IF(INT(MOD(C6,60))&gt;0,INT(MOD(C6,60))&amp;"s","")))))</f>
        <v/>
      </c>
    </row>
    <row r="7">
      <c r="A7" s="11" t="n">
        <v>4</v>
      </c>
      <c r="B7" s="12">
        <f>IFERROR(COMBIN($D$1,A7),"n &lt; length")</f>
        <v/>
      </c>
      <c r="C7" s="13">
        <f>IFERROR(B7/($A$1*1000000),"")</f>
        <v/>
      </c>
      <c r="D7" s="14">
        <f>IF(C7="","",IF(C7=0,"0s",IF(C7&lt;1,"&lt;1s",TRIM(IF(INT(C7/31536000)&gt;0,TEXT(INT(C7/31536000),"#,##0")&amp;"y ","")&amp;IF(INT(MOD(C7,31536000)/2592000)&gt;0,INT(MOD(C7,31536000)/2592000)&amp;"mo ","")&amp;IF(INT(MOD(C7,2592000)/86400)&gt;0,INT(MOD(C7,2592000)/86400)&amp;"d ","")&amp;IF(INT(MOD(C7,86400)/3600)&gt;0,INT(MOD(C7,86400)/3600)&amp;"h ","")&amp;IF(INT(MOD(C7,3600)/60)&gt;0,INT(MOD(C7,3600)/60)&amp;"m ","")&amp;IF(INT(MOD(C7,60))&gt;0,INT(MOD(C7,60))&amp;"s","")))))</f>
        <v/>
      </c>
    </row>
    <row r="8">
      <c r="A8" s="7" t="n">
        <v>5</v>
      </c>
      <c r="B8" s="8">
        <f>IFERROR(COMBIN($D$1,A8),"n &lt; length")</f>
        <v/>
      </c>
      <c r="C8" s="9">
        <f>IFERROR(B8/($A$1*1000000),"")</f>
        <v/>
      </c>
      <c r="D8" s="10">
        <f>IF(C8="","",IF(C8=0,"0s",IF(C8&lt;1,"&lt;1s",TRIM(IF(INT(C8/31536000)&gt;0,TEXT(INT(C8/31536000),"#,##0")&amp;"y ","")&amp;IF(INT(MOD(C8,31536000)/2592000)&gt;0,INT(MOD(C8,31536000)/2592000)&amp;"mo ","")&amp;IF(INT(MOD(C8,2592000)/86400)&gt;0,INT(MOD(C8,2592000)/86400)&amp;"d ","")&amp;IF(INT(MOD(C8,86400)/3600)&gt;0,INT(MOD(C8,86400)/3600)&amp;"h ","")&amp;IF(INT(MOD(C8,3600)/60)&gt;0,INT(MOD(C8,3600)/60)&amp;"m ","")&amp;IF(INT(MOD(C8,60))&gt;0,INT(MOD(C8,60))&amp;"s","")))))</f>
        <v/>
      </c>
    </row>
    <row r="9">
      <c r="A9" s="11" t="n">
        <v>6</v>
      </c>
      <c r="B9" s="12">
        <f>IFERROR(COMBIN($D$1,A9),"n &lt; length")</f>
        <v/>
      </c>
      <c r="C9" s="13">
        <f>IFERROR(B9/($A$1*1000000),"")</f>
        <v/>
      </c>
      <c r="D9" s="14">
        <f>IF(C9="","",IF(C9=0,"0s",IF(C9&lt;1,"&lt;1s",TRIM(IF(INT(C9/31536000)&gt;0,TEXT(INT(C9/31536000),"#,##0")&amp;"y ","")&amp;IF(INT(MOD(C9,31536000)/2592000)&gt;0,INT(MOD(C9,31536000)/2592000)&amp;"mo ","")&amp;IF(INT(MOD(C9,2592000)/86400)&gt;0,INT(MOD(C9,2592000)/86400)&amp;"d ","")&amp;IF(INT(MOD(C9,86400)/3600)&gt;0,INT(MOD(C9,86400)/3600)&amp;"h ","")&amp;IF(INT(MOD(C9,3600)/60)&gt;0,INT(MOD(C9,3600)/60)&amp;"m ","")&amp;IF(INT(MOD(C9,60))&gt;0,INT(MOD(C9,60))&amp;"s","")))))</f>
        <v/>
      </c>
    </row>
    <row r="10">
      <c r="A10" s="7" t="n">
        <v>7</v>
      </c>
      <c r="B10" s="8">
        <f>IFERROR(COMBIN($D$1,A10),"n &lt; length")</f>
        <v/>
      </c>
      <c r="C10" s="9">
        <f>IFERROR(B10/($A$1*1000000),"")</f>
        <v/>
      </c>
      <c r="D10" s="10">
        <f>IF(C10="","",IF(C10=0,"0s",IF(C10&lt;1,"&lt;1s",TRIM(IF(INT(C10/31536000)&gt;0,TEXT(INT(C10/31536000),"#,##0")&amp;"y ","")&amp;IF(INT(MOD(C10,31536000)/2592000)&gt;0,INT(MOD(C10,31536000)/2592000)&amp;"mo ","")&amp;IF(INT(MOD(C10,2592000)/86400)&gt;0,INT(MOD(C10,2592000)/86400)&amp;"d ","")&amp;IF(INT(MOD(C10,86400)/3600)&gt;0,INT(MOD(C10,86400)/3600)&amp;"h ","")&amp;IF(INT(MOD(C10,3600)/60)&gt;0,INT(MOD(C10,3600)/60)&amp;"m ","")&amp;IF(INT(MOD(C10,60))&gt;0,INT(MOD(C10,60))&amp;"s","")))))</f>
        <v/>
      </c>
    </row>
    <row r="11">
      <c r="A11" s="11" t="n">
        <v>8</v>
      </c>
      <c r="B11" s="12">
        <f>IFERROR(COMBIN($D$1,A11),"n &lt; length")</f>
        <v/>
      </c>
      <c r="C11" s="13">
        <f>IFERROR(B11/($A$1*1000000),"")</f>
        <v/>
      </c>
      <c r="D11" s="14">
        <f>IF(C11="","",IF(C11=0,"0s",IF(C11&lt;1,"&lt;1s",TRIM(IF(INT(C11/31536000)&gt;0,TEXT(INT(C11/31536000),"#,##0")&amp;"y ","")&amp;IF(INT(MOD(C11,31536000)/2592000)&gt;0,INT(MOD(C11,31536000)/2592000)&amp;"mo ","")&amp;IF(INT(MOD(C11,2592000)/86400)&gt;0,INT(MOD(C11,2592000)/86400)&amp;"d ","")&amp;IF(INT(MOD(C11,86400)/3600)&gt;0,INT(MOD(C11,86400)/3600)&amp;"h ","")&amp;IF(INT(MOD(C11,3600)/60)&gt;0,INT(MOD(C11,3600)/60)&amp;"m ","")&amp;IF(INT(MOD(C11,60))&gt;0,INT(MOD(C11,60))&amp;"s","")))))</f>
        <v/>
      </c>
    </row>
    <row r="12">
      <c r="A12" s="7" t="n">
        <v>9</v>
      </c>
      <c r="B12" s="8">
        <f>IFERROR(COMBIN($D$1,A12),"n &lt; length")</f>
        <v/>
      </c>
      <c r="C12" s="9">
        <f>IFERROR(B12/($A$1*1000000),"")</f>
        <v/>
      </c>
      <c r="D12" s="10">
        <f>IF(C12="","",IF(C12=0,"0s",IF(C12&lt;1,"&lt;1s",TRIM(IF(INT(C12/31536000)&gt;0,TEXT(INT(C12/31536000),"#,##0")&amp;"y ","")&amp;IF(INT(MOD(C12,31536000)/2592000)&gt;0,INT(MOD(C12,31536000)/2592000)&amp;"mo ","")&amp;IF(INT(MOD(C12,2592000)/86400)&gt;0,INT(MOD(C12,2592000)/86400)&amp;"d ","")&amp;IF(INT(MOD(C12,86400)/3600)&gt;0,INT(MOD(C12,86400)/3600)&amp;"h ","")&amp;IF(INT(MOD(C12,3600)/60)&gt;0,INT(MOD(C12,3600)/60)&amp;"m ","")&amp;IF(INT(MOD(C12,60))&gt;0,INT(MOD(C12,60))&amp;"s","")))))</f>
        <v/>
      </c>
    </row>
    <row r="13">
      <c r="A13" s="11" t="n">
        <v>10</v>
      </c>
      <c r="B13" s="12">
        <f>IFERROR(COMBIN($D$1,A13),"n &lt; length")</f>
        <v/>
      </c>
      <c r="C13" s="13">
        <f>IFERROR(B13/($A$1*1000000),"")</f>
        <v/>
      </c>
      <c r="D13" s="14">
        <f>IF(C13="","",IF(C13=0,"0s",IF(C13&lt;1,"&lt;1s",TRIM(IF(INT(C13/31536000)&gt;0,TEXT(INT(C13/31536000),"#,##0")&amp;"y ","")&amp;IF(INT(MOD(C13,31536000)/2592000)&gt;0,INT(MOD(C13,31536000)/2592000)&amp;"mo ","")&amp;IF(INT(MOD(C13,2592000)/86400)&gt;0,INT(MOD(C13,2592000)/86400)&amp;"d ","")&amp;IF(INT(MOD(C13,86400)/3600)&gt;0,INT(MOD(C13,86400)/3600)&amp;"h ","")&amp;IF(INT(MOD(C13,3600)/60)&gt;0,INT(MOD(C13,3600)/60)&amp;"m ","")&amp;IF(INT(MOD(C13,60))&gt;0,INT(MOD(C13,60))&amp;"s","")))))</f>
        <v/>
      </c>
    </row>
    <row r="14">
      <c r="A14" s="7" t="n">
        <v>11</v>
      </c>
      <c r="B14" s="8">
        <f>IFERROR(COMBIN($D$1,A14),"n &lt; length")</f>
        <v/>
      </c>
      <c r="C14" s="9">
        <f>IFERROR(B14/($A$1*1000000),"")</f>
        <v/>
      </c>
      <c r="D14" s="10">
        <f>IF(C14="","",IF(C14=0,"0s",IF(C14&lt;1,"&lt;1s",TRIM(IF(INT(C14/31536000)&gt;0,TEXT(INT(C14/31536000),"#,##0")&amp;"y ","")&amp;IF(INT(MOD(C14,31536000)/2592000)&gt;0,INT(MOD(C14,31536000)/2592000)&amp;"mo ","")&amp;IF(INT(MOD(C14,2592000)/86400)&gt;0,INT(MOD(C14,2592000)/86400)&amp;"d ","")&amp;IF(INT(MOD(C14,86400)/3600)&gt;0,INT(MOD(C14,86400)/3600)&amp;"h ","")&amp;IF(INT(MOD(C14,3600)/60)&gt;0,INT(MOD(C14,3600)/60)&amp;"m ","")&amp;IF(INT(MOD(C14,60))&gt;0,INT(MOD(C14,60))&amp;"s","")))))</f>
        <v/>
      </c>
    </row>
    <row r="15">
      <c r="A15" s="11" t="n">
        <v>12</v>
      </c>
      <c r="B15" s="12">
        <f>IFERROR(COMBIN($D$1,A15),"n &lt; length")</f>
        <v/>
      </c>
      <c r="C15" s="13">
        <f>IFERROR(B15/($A$1*1000000),"")</f>
        <v/>
      </c>
      <c r="D15" s="14">
        <f>IF(C15="","",IF(C15=0,"0s",IF(C15&lt;1,"&lt;1s",TRIM(IF(INT(C15/31536000)&gt;0,TEXT(INT(C15/31536000),"#,##0")&amp;"y ","")&amp;IF(INT(MOD(C15,31536000)/2592000)&gt;0,INT(MOD(C15,31536000)/2592000)&amp;"mo ","")&amp;IF(INT(MOD(C15,2592000)/86400)&gt;0,INT(MOD(C15,2592000)/86400)&amp;"d ","")&amp;IF(INT(MOD(C15,86400)/3600)&gt;0,INT(MOD(C15,86400)/3600)&amp;"h ","")&amp;IF(INT(MOD(C15,3600)/60)&gt;0,INT(MOD(C15,3600)/60)&amp;"m ","")&amp;IF(INT(MOD(C15,60))&gt;0,INT(MOD(C15,60))&amp;"s","")))))</f>
        <v/>
      </c>
    </row>
    <row r="16">
      <c r="A16" s="7" t="n">
        <v>13</v>
      </c>
      <c r="B16" s="8">
        <f>IFERROR(COMBIN($D$1,A16),"n &lt; length")</f>
        <v/>
      </c>
      <c r="C16" s="9">
        <f>IFERROR(B16/($A$1*1000000),"")</f>
        <v/>
      </c>
      <c r="D16" s="10">
        <f>IF(C16="","",IF(C16=0,"0s",IF(C16&lt;1,"&lt;1s",TRIM(IF(INT(C16/31536000)&gt;0,TEXT(INT(C16/31536000),"#,##0")&amp;"y ","")&amp;IF(INT(MOD(C16,31536000)/2592000)&gt;0,INT(MOD(C16,31536000)/2592000)&amp;"mo ","")&amp;IF(INT(MOD(C16,2592000)/86400)&gt;0,INT(MOD(C16,2592000)/86400)&amp;"d ","")&amp;IF(INT(MOD(C16,86400)/3600)&gt;0,INT(MOD(C16,86400)/3600)&amp;"h ","")&amp;IF(INT(MOD(C16,3600)/60)&gt;0,INT(MOD(C16,3600)/60)&amp;"m ","")&amp;IF(INT(MOD(C16,60))&gt;0,INT(MOD(C16,60))&amp;"s","")))))</f>
        <v/>
      </c>
    </row>
    <row r="17">
      <c r="A17" s="11" t="n">
        <v>14</v>
      </c>
      <c r="B17" s="12">
        <f>IFERROR(COMBIN($D$1,A17),"n &lt; length")</f>
        <v/>
      </c>
      <c r="C17" s="13">
        <f>IFERROR(B17/($A$1*1000000),"")</f>
        <v/>
      </c>
      <c r="D17" s="14">
        <f>IF(C17="","",IF(C17=0,"0s",IF(C17&lt;1,"&lt;1s",TRIM(IF(INT(C17/31536000)&gt;0,TEXT(INT(C17/31536000),"#,##0")&amp;"y ","")&amp;IF(INT(MOD(C17,31536000)/2592000)&gt;0,INT(MOD(C17,31536000)/2592000)&amp;"mo ","")&amp;IF(INT(MOD(C17,2592000)/86400)&gt;0,INT(MOD(C17,2592000)/86400)&amp;"d ","")&amp;IF(INT(MOD(C17,86400)/3600)&gt;0,INT(MOD(C17,86400)/3600)&amp;"h ","")&amp;IF(INT(MOD(C17,3600)/60)&gt;0,INT(MOD(C17,3600)/60)&amp;"m ","")&amp;IF(INT(MOD(C17,60))&gt;0,INT(MOD(C17,60))&amp;"s","")))))</f>
        <v/>
      </c>
    </row>
    <row r="18">
      <c r="A18" s="7" t="n">
        <v>15</v>
      </c>
      <c r="B18" s="8">
        <f>IFERROR(COMBIN($D$1,A18),"n &lt; length")</f>
        <v/>
      </c>
      <c r="C18" s="9">
        <f>IFERROR(B18/($A$1*1000000),"")</f>
        <v/>
      </c>
      <c r="D18" s="10">
        <f>IF(C18="","",IF(C18=0,"0s",IF(C18&lt;1,"&lt;1s",TRIM(IF(INT(C18/31536000)&gt;0,TEXT(INT(C18/31536000),"#,##0")&amp;"y ","")&amp;IF(INT(MOD(C18,31536000)/2592000)&gt;0,INT(MOD(C18,31536000)/2592000)&amp;"mo ","")&amp;IF(INT(MOD(C18,2592000)/86400)&gt;0,INT(MOD(C18,2592000)/86400)&amp;"d ","")&amp;IF(INT(MOD(C18,86400)/3600)&gt;0,INT(MOD(C18,86400)/3600)&amp;"h ","")&amp;IF(INT(MOD(C18,3600)/60)&gt;0,INT(MOD(C18,3600)/60)&amp;"m ","")&amp;IF(INT(MOD(C18,60))&gt;0,INT(MOD(C18,60))&amp;"s","")))))</f>
        <v/>
      </c>
    </row>
    <row r="19">
      <c r="A19" s="11" t="n">
        <v>16</v>
      </c>
      <c r="B19" s="12">
        <f>IFERROR(COMBIN($D$1,A19),"n &lt; length")</f>
        <v/>
      </c>
      <c r="C19" s="13">
        <f>IFERROR(B19/($A$1*1000000),"")</f>
        <v/>
      </c>
      <c r="D19" s="14">
        <f>IF(C19="","",IF(C19=0,"0s",IF(C19&lt;1,"&lt;1s",TRIM(IF(INT(C19/31536000)&gt;0,TEXT(INT(C19/31536000),"#,##0")&amp;"y ","")&amp;IF(INT(MOD(C19,31536000)/2592000)&gt;0,INT(MOD(C19,31536000)/2592000)&amp;"mo ","")&amp;IF(INT(MOD(C19,2592000)/86400)&gt;0,INT(MOD(C19,2592000)/86400)&amp;"d ","")&amp;IF(INT(MOD(C19,86400)/3600)&gt;0,INT(MOD(C19,86400)/3600)&amp;"h ","")&amp;IF(INT(MOD(C19,3600)/60)&gt;0,INT(MOD(C19,3600)/60)&amp;"m ","")&amp;IF(INT(MOD(C19,60))&gt;0,INT(MOD(C19,60))&amp;"s","")))))</f>
        <v/>
      </c>
    </row>
    <row r="21">
      <c r="A21" s="15" t="inlineStr">
        <is>
          <t>How to use</t>
        </is>
      </c>
    </row>
    <row r="22">
      <c r="A22" s="16" t="inlineStr">
        <is>
          <t>Yellow cells are inputs: A1 = speed (Mcand/sec), D1 = pool size n.</t>
        </is>
      </c>
    </row>
    <row r="23">
      <c r="A23" s="16" t="inlineStr">
        <is>
          <t>Candidates count  =  COMBIN(n, length)  =  n! / (r!·(n−r)!)</t>
        </is>
      </c>
    </row>
    <row r="24">
      <c r="A24" s="16" t="inlineStr">
        <is>
          <t>Total seconds     =  Candidates ÷ (Speed × 1,000,000)   ← ×10⁶ turns Mcand/sec into cand/sec</t>
        </is>
      </c>
    </row>
    <row r="25">
      <c r="A25" s="16" t="inlineStr">
        <is>
          <t>Formatted time approximations:  1 year = 365 days,  1 month = 30 days.</t>
        </is>
      </c>
    </row>
    <row r="26">
      <c r="A26" s="16" t="inlineStr">
        <is>
          <t>"n &lt; length" appears when n &lt; the row length (COMBIN undefined there).</t>
        </is>
      </c>
    </row>
  </sheetData>
  <mergeCells count="2">
    <mergeCell ref="B2:D2"/>
    <mergeCell ref="A2:A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2026-08-14T13:03:33Z</dcterms:created>
  <dcterms:modified xsi:type="dcterms:W3CDTF">2026-08-14T13:03:33Z</dcterms:modified>
</cp:coreProperties>
</file>